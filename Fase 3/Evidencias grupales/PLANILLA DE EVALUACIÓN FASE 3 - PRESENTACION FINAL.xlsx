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PR_ML">'RELEVANCIA-PUNTAJE'!$D$5</definedName>
    <definedName name="PR_NL">'RELEVANCIA-PUNTAJE'!$E$5</definedName>
    <definedName name="RE_ML">'RELEVANCIA-PUNTAJE'!$D$4</definedName>
    <definedName name="MR">'RELEVANCIA-PUNTAJE'!$A$3</definedName>
    <definedName name="TL">'RELEVANCIA-PUNTAJE'!$B$2</definedName>
    <definedName name="PR">'RELEVANCIA-PUNTAJE'!$A$5</definedName>
    <definedName name="MR_ML">'RELEVANCIA-PUNTAJE'!$D$3</definedName>
    <definedName name="MR_CL">'RELEVANCIA-PUNTAJE'!$B$3</definedName>
    <definedName name="RE_NL">'RELEVANCIA-PUNTAJE'!$E$4</definedName>
    <definedName name="NL">'RELEVANCIA-PUNTAJE'!$E$2</definedName>
    <definedName name="MR_NL">'RELEVANCIA-PUNTAJE'!$E$3</definedName>
    <definedName name="RE">'RELEVANCIA-PUNTAJE'!$A$4</definedName>
    <definedName name="RE_TL">'RELEVANCIA-PUNTAJE'!$B$4</definedName>
    <definedName name="L">'RELEVANCIA-PUNTAJE'!$C$2</definedName>
    <definedName name="MR_TL">'RELEVANCIA-PUNTAJE'!$B$3</definedName>
    <definedName name="MR_L">'RELEVANCIA-PUNTAJE'!$C$3</definedName>
    <definedName name="PR_TL">'RELEVANCIA-PUNTAJE'!$B$5</definedName>
    <definedName name="ML">'RELEVANCIA-PUNTAJE'!$D$2</definedName>
    <definedName name="CL">'RELEVANCIA-PUNTAJE'!$B$2</definedName>
  </definedNames>
  <calcPr/>
  <extLst>
    <ext uri="GoogleSheetsCustomDataVersion2">
      <go:sheetsCustomData xmlns:go="http://customooxmlschemas.google.com/" r:id="rId10" roundtripDataChecksum="CrbjWBPUhICqrXz3Ow8Txh2o15PWmSS93U600mqRDMI="/>
    </ext>
  </extLst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<sst xmlns="http://schemas.openxmlformats.org/spreadsheetml/2006/main" count="164" uniqueCount="66">
  <si>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</si>
  <si>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</si>
  <si>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</si>
  <si>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</si>
  <si>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Simon Dinamarca</t>
  </si>
  <si>
    <t>Joaquin Fuentes</t>
  </si>
  <si>
    <t>Raul Nuñez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</si>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</sst>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C60</f>
        <v>7</v>
      </c>
      <c r="E4" s="12">
        <f t="shared" ref="E4:E6" si="1">C4*C$2+D4*D$2</f>
        <v>7</v>
      </c>
    </row>
    <row r="5">
      <c r="A5" s="8">
        <v>2.0</v>
      </c>
      <c r="B5" s="9" t="s">
        <v>5</v>
      </c>
      <c r="C5" s="10">
        <f>C34</f>
        <v>7</v>
      </c>
      <c r="D5" s="11">
        <f>C73</f>
        <v>7</v>
      </c>
      <c r="E5" s="12">
        <f t="shared" si="1"/>
        <v>7</v>
      </c>
    </row>
    <row r="6">
      <c r="A6" s="8">
        <v>3.0</v>
      </c>
      <c r="B6" s="9" t="s">
        <v>6</v>
      </c>
      <c r="C6" s="10">
        <f>C47</f>
        <v>7</v>
      </c>
      <c r="D6" s="11">
        <f>C86</f>
        <v>7</v>
      </c>
      <c r="E6" s="12">
        <f t="shared" si="1"/>
        <v>7</v>
      </c>
    </row>
    <row r="11" outlineLevel="1">
      <c r="A11" s="13" t="s">
        <v>7</v>
      </c>
      <c r="B11" s="14" t="str">
        <f>B4</f>
        <v>Simon Dinamarca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11</v>
      </c>
      <c r="D13" s="24" t="str">
        <f>IF($C13=CL,"X","")</f>
        <v>X</v>
      </c>
      <c r="E13" s="24">
        <f>IF(D13="X",100*0.15,"")</f>
        <v>15</v>
      </c>
      <c r="F13" s="24" t="str">
        <f>IF($C13=L,"X","")</f>
        <v/>
      </c>
      <c r="G13" s="24" t="str">
        <f>IF(F13="X",60*0.15,"")</f>
        <v/>
      </c>
      <c r="H13" s="24" t="str">
        <f>IF($C13=ML,"X","")</f>
        <v/>
      </c>
      <c r="I13" s="24" t="str">
        <f>IF(H13="X",30*0.15,"")</f>
        <v/>
      </c>
      <c r="J13" s="24" t="str">
        <f>IF($C13=NL,"X","")</f>
        <v/>
      </c>
      <c r="K13" s="24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11</v>
      </c>
      <c r="D14" s="24" t="str">
        <f>IF($C14=CL,"X","")</f>
        <v>X</v>
      </c>
      <c r="E14" s="24">
        <f>IF(D14="X",100*0.25,"")</f>
        <v>25</v>
      </c>
      <c r="F14" s="24" t="str">
        <f>IF($C14=L,"X","")</f>
        <v/>
      </c>
      <c r="G14" s="24" t="str">
        <f>IF(F14="X",60*0.25,"")</f>
        <v/>
      </c>
      <c r="H14" s="24" t="str">
        <f>IF($C14=ML,"X","")</f>
        <v/>
      </c>
      <c r="I14" s="24" t="str">
        <f>IF(H14="X",30*0.25,"")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11</v>
      </c>
      <c r="D15" s="24" t="str">
        <f>IF($C15=CL,"X","")</f>
        <v>X</v>
      </c>
      <c r="E15" s="24">
        <f>IF(D15="X",100*0.2,"")</f>
        <v>20</v>
      </c>
      <c r="F15" s="24" t="str">
        <f>IF($C15=L,"X","")</f>
        <v/>
      </c>
      <c r="G15" s="24" t="str">
        <f>IF(F15="X",60*0.2,"")</f>
        <v/>
      </c>
      <c r="H15" s="24" t="str">
        <f>IF($C15=ML,"X","")</f>
        <v/>
      </c>
      <c r="I15" s="24" t="str">
        <f>IF(H15="X",30*0.2,"")</f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11</v>
      </c>
      <c r="D16" s="24" t="str">
        <f>IF($C16=CL,"X","")</f>
        <v>X</v>
      </c>
      <c r="E16" s="24">
        <f t="shared" ref="E16:E17" si="3">IF(D16="X",100*0.05,"")</f>
        <v>5</v>
      </c>
      <c r="F16" s="24" t="str">
        <f>IF($C16=L,"X","")</f>
        <v/>
      </c>
      <c r="G16" s="24" t="str">
        <f t="shared" ref="G16:G17" si="4">IF(F16="X",60*0.05,"")</f>
        <v/>
      </c>
      <c r="H16" s="24" t="str">
        <f>IF($C16=ML,"X","")</f>
        <v/>
      </c>
      <c r="I16" s="24" t="str">
        <f t="shared" ref="I16:I17" si="5">IF(H16="X",30*0.05,"")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11</v>
      </c>
      <c r="D17" s="24" t="str">
        <f>IF($C17=CL,"X","")</f>
        <v>X</v>
      </c>
      <c r="E17" s="24">
        <f t="shared" si="3"/>
        <v>5</v>
      </c>
      <c r="F17" s="24" t="str">
        <f>IF($C17=L,"X","")</f>
        <v/>
      </c>
      <c r="G17" s="24" t="str">
        <f t="shared" si="4"/>
        <v/>
      </c>
      <c r="H17" s="24" t="str">
        <f>IF($C17=ML,"X","")</f>
        <v/>
      </c>
      <c r="I17" s="24" t="str">
        <f t="shared" si="5"/>
        <v/>
      </c>
      <c r="J17" s="24" t="str">
        <f>IF($C17=NL,"X","")</f>
        <v/>
      </c>
      <c r="K17" s="24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11</v>
      </c>
      <c r="D18" s="24" t="str">
        <f>IF($C18=CL,"X","")</f>
        <v>X</v>
      </c>
      <c r="E18" s="24">
        <f>IF(D18="X",100*0.2,"")</f>
        <v>20</v>
      </c>
      <c r="F18" s="24" t="str">
        <f>IF($C18=L,"X","")</f>
        <v/>
      </c>
      <c r="G18" s="24" t="str">
        <f>IF(F18="X",60*0.2,"")</f>
        <v/>
      </c>
      <c r="H18" s="24" t="str">
        <f>IF($C18=ML,"X","")</f>
        <v/>
      </c>
      <c r="I18" s="24" t="str">
        <f>IF(H18="X",30*0.2,"")</f>
        <v/>
      </c>
      <c r="J18" s="24" t="str">
        <f>IF($C18=NL,"X","")</f>
        <v/>
      </c>
      <c r="K18" s="24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11</v>
      </c>
      <c r="D19" s="24" t="str">
        <f>IF($C19=CL,"X","")</f>
        <v>X</v>
      </c>
      <c r="E19" s="24">
        <f>IF(D19="X",100*0.1,"")</f>
        <v>10</v>
      </c>
      <c r="F19" s="24" t="str">
        <f>IF($C19=L,"X","")</f>
        <v/>
      </c>
      <c r="G19" s="24" t="str">
        <f>IF(F19="X",60*0.1,"")</f>
        <v/>
      </c>
      <c r="H19" s="24" t="str">
        <f>IF($C19=ML,"X","")</f>
        <v/>
      </c>
      <c r="I19" s="24" t="str">
        <f>IF(H19="X",30*0.1,"")</f>
        <v/>
      </c>
      <c r="J19" s="24" t="str">
        <f>IF($C19=NL,"X","")</f>
        <v/>
      </c>
      <c r="K19" s="24" t="str">
        <f t="shared" si="2"/>
        <v/>
      </c>
    </row>
    <row r="20" ht="15.75" customHeight="1" outlineLevel="1">
      <c r="A20" s="19"/>
      <c r="B20" s="25" t="s">
        <v>15</v>
      </c>
      <c r="C20" s="26">
        <f>E20+G20+I20+K20</f>
        <v>100</v>
      </c>
      <c r="D20" s="27"/>
      <c r="E20" s="27">
        <f>SUM(E13:E19)</f>
        <v>100</v>
      </c>
      <c r="F20" s="27"/>
      <c r="G20" s="27">
        <f>SUM(G13:G19)</f>
        <v>0</v>
      </c>
      <c r="H20" s="27"/>
      <c r="I20" s="27">
        <f>SUM(I13:I19)</f>
        <v>0</v>
      </c>
      <c r="J20" s="27"/>
      <c r="K20" s="27">
        <f>SUM(K13:K19)</f>
        <v>0</v>
      </c>
    </row>
    <row r="21" ht="15.75" customHeight="1" outlineLevel="1">
      <c r="A21" s="21"/>
      <c r="B21" s="28" t="s">
        <v>16</v>
      </c>
      <c r="C21" s="29">
        <f>VLOOKUP(C20,ESCALA_IEP!A2:B202,2,FALSE)</f>
        <v>7</v>
      </c>
    </row>
    <row r="22" ht="15.75" customHeight="1"/>
    <row r="23" ht="15.75" customHeight="1"/>
    <row r="24" ht="24.0" customHeight="1">
      <c r="A24" s="13" t="s">
        <v>7</v>
      </c>
      <c r="B24" s="14" t="str">
        <f>B5</f>
        <v>Joaquin Fuentes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11</v>
      </c>
      <c r="D26" s="24" t="str">
        <f>IF($C26=CL,"X","")</f>
        <v>X</v>
      </c>
      <c r="E26" s="24">
        <f>IF(D26="X",100*0.15,"")</f>
        <v>15</v>
      </c>
      <c r="F26" s="24" t="str">
        <f>IF($C26=L,"X","")</f>
        <v/>
      </c>
      <c r="G26" s="24" t="str">
        <f>IF(F26="X",60*0.15,"")</f>
        <v/>
      </c>
      <c r="H26" s="24" t="str">
        <f>IF($C26=ML,"X","")</f>
        <v/>
      </c>
      <c r="I26" s="24" t="str">
        <f>IF(H26="X",30*0.15,"")</f>
        <v/>
      </c>
      <c r="J26" s="24" t="str">
        <f>IF($C26=NL,"X","")</f>
        <v/>
      </c>
      <c r="K26" s="24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11</v>
      </c>
      <c r="D27" s="24" t="str">
        <f>IF($C27=CL,"X","")</f>
        <v>X</v>
      </c>
      <c r="E27" s="24">
        <f>IF(D27="X",100*0.25,"")</f>
        <v>25</v>
      </c>
      <c r="F27" s="24" t="str">
        <f>IF($C27=L,"X","")</f>
        <v/>
      </c>
      <c r="G27" s="24" t="str">
        <f>IF(F27="X",60*0.25,"")</f>
        <v/>
      </c>
      <c r="H27" s="24" t="str">
        <f>IF($C27=ML,"X","")</f>
        <v/>
      </c>
      <c r="I27" s="24" t="str">
        <f>IF(H27="X",30*0.25,"")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11</v>
      </c>
      <c r="D28" s="24" t="str">
        <f>IF($C28=CL,"X","")</f>
        <v>X</v>
      </c>
      <c r="E28" s="24">
        <f>IF(D28="X",100*0.2,"")</f>
        <v>20</v>
      </c>
      <c r="F28" s="24" t="str">
        <f>IF($C28=L,"X","")</f>
        <v/>
      </c>
      <c r="G28" s="24" t="str">
        <f>IF(F28="X",60*0.2,"")</f>
        <v/>
      </c>
      <c r="H28" s="24" t="str">
        <f>IF($C28=ML,"X","")</f>
        <v/>
      </c>
      <c r="I28" s="24" t="str">
        <f>IF(H28="X",30*0.2,"")</f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11</v>
      </c>
      <c r="D29" s="24" t="str">
        <f>IF($C29=CL,"X","")</f>
        <v>X</v>
      </c>
      <c r="E29" s="24">
        <f t="shared" ref="E29:E30" si="7">IF(D29="X",100*0.05,"")</f>
        <v>5</v>
      </c>
      <c r="F29" s="24" t="str">
        <f>IF($C29=L,"X","")</f>
        <v/>
      </c>
      <c r="G29" s="24" t="str">
        <f t="shared" ref="G29:G30" si="8">IF(F29="X",60*0.05,"")</f>
        <v/>
      </c>
      <c r="H29" s="24" t="str">
        <f>IF($C29=ML,"X","")</f>
        <v/>
      </c>
      <c r="I29" s="24" t="str">
        <f t="shared" ref="I29:I30" si="9">IF(H29="X",30*0.05,"")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11</v>
      </c>
      <c r="D30" s="24" t="str">
        <f>IF($C30=CL,"X","")</f>
        <v>X</v>
      </c>
      <c r="E30" s="24">
        <f t="shared" si="7"/>
        <v>5</v>
      </c>
      <c r="F30" s="24" t="str">
        <f>IF($C30=L,"X","")</f>
        <v/>
      </c>
      <c r="G30" s="24" t="str">
        <f t="shared" si="8"/>
        <v/>
      </c>
      <c r="H30" s="24" t="str">
        <f>IF($C30=ML,"X","")</f>
        <v/>
      </c>
      <c r="I30" s="24" t="str">
        <f t="shared" si="9"/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11</v>
      </c>
      <c r="D31" s="24" t="str">
        <f>IF($C31=CL,"X","")</f>
        <v>X</v>
      </c>
      <c r="E31" s="24">
        <f>IF(D31="X",100*0.2,"")</f>
        <v>20</v>
      </c>
      <c r="F31" s="24" t="str">
        <f>IF($C31=L,"X","")</f>
        <v/>
      </c>
      <c r="G31" s="24" t="str">
        <f>IF(F31="X",60*0.2,"")</f>
        <v/>
      </c>
      <c r="H31" s="24" t="str">
        <f>IF($C31=ML,"X","")</f>
        <v/>
      </c>
      <c r="I31" s="24" t="str">
        <f>IF(H31="X",30*0.2,"")</f>
        <v/>
      </c>
      <c r="J31" s="24" t="str">
        <f>IF($C31=NL,"X","")</f>
        <v/>
      </c>
      <c r="K31" s="24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11</v>
      </c>
      <c r="D32" s="24" t="str">
        <f>IF($C32=CL,"X","")</f>
        <v>X</v>
      </c>
      <c r="E32" s="24">
        <f>IF(D32="X",100*0.1,"")</f>
        <v>10</v>
      </c>
      <c r="F32" s="24" t="str">
        <f>IF($C32=L,"X","")</f>
        <v/>
      </c>
      <c r="G32" s="24" t="str">
        <f>IF(F32="X",60*0.1,"")</f>
        <v/>
      </c>
      <c r="H32" s="24" t="str">
        <f>IF($C32=ML,"X","")</f>
        <v/>
      </c>
      <c r="I32" s="24" t="str">
        <f>IF(H32="X",30*0.1,"")</f>
        <v/>
      </c>
      <c r="J32" s="24" t="str">
        <f>IF($C32=NL,"X","")</f>
        <v/>
      </c>
      <c r="K32" s="24" t="str">
        <f t="shared" si="6"/>
        <v/>
      </c>
    </row>
    <row r="33" ht="24.0" customHeight="1">
      <c r="A33" s="19"/>
      <c r="B33" s="25" t="s">
        <v>15</v>
      </c>
      <c r="C33" s="26">
        <f>E33+G33+I33+K33</f>
        <v>100</v>
      </c>
      <c r="D33" s="27"/>
      <c r="E33" s="27">
        <f>SUM(E26:E32)</f>
        <v>100</v>
      </c>
      <c r="F33" s="27"/>
      <c r="G33" s="27">
        <f>SUM(G26:G32)</f>
        <v>0</v>
      </c>
      <c r="H33" s="27"/>
      <c r="I33" s="27">
        <f>SUM(I26:I32)</f>
        <v>0</v>
      </c>
      <c r="J33" s="27"/>
      <c r="K33" s="27">
        <f>SUM(K26:K32)</f>
        <v>0</v>
      </c>
    </row>
    <row r="34" ht="24.0" customHeight="1">
      <c r="A34" s="21"/>
      <c r="B34" s="28" t="s">
        <v>16</v>
      </c>
      <c r="C34" s="29">
        <f>VLOOKUP(C33,ESCALA_IEP!A15:B215,2,FALSE)</f>
        <v>7</v>
      </c>
    </row>
    <row r="35" ht="15.75" customHeight="1"/>
    <row r="36" ht="13.5" customHeight="1"/>
    <row r="37" ht="24.0" customHeight="1">
      <c r="A37" s="13" t="s">
        <v>7</v>
      </c>
      <c r="B37" s="14" t="str">
        <f>B6</f>
        <v>Raul Nuñez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11</v>
      </c>
      <c r="D39" s="24" t="str">
        <f>IF($C39=CL,"X","")</f>
        <v>X</v>
      </c>
      <c r="E39" s="24">
        <f>IF(D39="X",100*0.15,"")</f>
        <v>15</v>
      </c>
      <c r="F39" s="24" t="str">
        <f>IF($C39=L,"X","")</f>
        <v/>
      </c>
      <c r="G39" s="24" t="str">
        <f>IF(F39="X",60*0.15,"")</f>
        <v/>
      </c>
      <c r="H39" s="24" t="str">
        <f>IF($C39=ML,"X","")</f>
        <v/>
      </c>
      <c r="I39" s="24" t="str">
        <f>IF(H39="X",30*0.15,"")</f>
        <v/>
      </c>
      <c r="J39" s="24" t="str">
        <f>IF($C39=NL,"X","")</f>
        <v/>
      </c>
      <c r="K39" s="24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11</v>
      </c>
      <c r="D40" s="24" t="str">
        <f>IF($C40=CL,"X","")</f>
        <v>X</v>
      </c>
      <c r="E40" s="24">
        <f>IF(D40="X",100*0.25,"")</f>
        <v>25</v>
      </c>
      <c r="F40" s="24" t="str">
        <f>IF($C40=L,"X","")</f>
        <v/>
      </c>
      <c r="G40" s="24" t="str">
        <f>IF(F40="X",60*0.25,"")</f>
        <v/>
      </c>
      <c r="H40" s="24" t="str">
        <f>IF($C40=ML,"X","")</f>
        <v/>
      </c>
      <c r="I40" s="24" t="str">
        <f>IF(H40="X",30*0.25,"")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11</v>
      </c>
      <c r="D41" s="24" t="str">
        <f>IF($C41=CL,"X","")</f>
        <v>X</v>
      </c>
      <c r="E41" s="24">
        <f>IF(D41="X",100*0.2,"")</f>
        <v>20</v>
      </c>
      <c r="F41" s="24" t="str">
        <f>IF($C41=L,"X","")</f>
        <v/>
      </c>
      <c r="G41" s="24" t="str">
        <f>IF(F41="X",60*0.2,"")</f>
        <v/>
      </c>
      <c r="H41" s="24" t="str">
        <f>IF($C41=ML,"X","")</f>
        <v/>
      </c>
      <c r="I41" s="24" t="str">
        <f>IF(H41="X",30*0.2,"")</f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11</v>
      </c>
      <c r="D42" s="24" t="str">
        <f>IF($C42=CL,"X","")</f>
        <v>X</v>
      </c>
      <c r="E42" s="24">
        <f t="shared" ref="E42:E43" si="11">IF(D42="X",100*0.05,"")</f>
        <v>5</v>
      </c>
      <c r="F42" s="24" t="str">
        <f>IF($C42=L,"X","")</f>
        <v/>
      </c>
      <c r="G42" s="24" t="str">
        <f t="shared" ref="G42:G43" si="12">IF(F42="X",60*0.05,"")</f>
        <v/>
      </c>
      <c r="H42" s="24" t="str">
        <f>IF($C42=ML,"X","")</f>
        <v/>
      </c>
      <c r="I42" s="24" t="str">
        <f t="shared" ref="I42:I43" si="13">IF(H42="X",30*0.05,"")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11</v>
      </c>
      <c r="D43" s="24" t="str">
        <f>IF($C43=CL,"X","")</f>
        <v>X</v>
      </c>
      <c r="E43" s="24">
        <f t="shared" si="11"/>
        <v>5</v>
      </c>
      <c r="F43" s="24" t="str">
        <f>IF($C43=L,"X","")</f>
        <v/>
      </c>
      <c r="G43" s="24" t="str">
        <f t="shared" si="12"/>
        <v/>
      </c>
      <c r="H43" s="24" t="str">
        <f>IF($C43=ML,"X","")</f>
        <v/>
      </c>
      <c r="I43" s="24" t="str">
        <f t="shared" si="13"/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11</v>
      </c>
      <c r="D44" s="24" t="str">
        <f>IF($C44=CL,"X","")</f>
        <v>X</v>
      </c>
      <c r="E44" s="24">
        <f>IF(D44="X",100*0.2,"")</f>
        <v>20</v>
      </c>
      <c r="F44" s="24" t="str">
        <f>IF($C44=L,"X","")</f>
        <v/>
      </c>
      <c r="G44" s="24" t="str">
        <f>IF(F44="X",60*0.2,"")</f>
        <v/>
      </c>
      <c r="H44" s="24" t="str">
        <f>IF($C44=ML,"X","")</f>
        <v/>
      </c>
      <c r="I44" s="24" t="str">
        <f>IF(H44="X",30*0.2,"")</f>
        <v/>
      </c>
      <c r="J44" s="24" t="str">
        <f>IF($C44=NL,"X","")</f>
        <v/>
      </c>
      <c r="K44" s="24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11</v>
      </c>
      <c r="D45" s="24" t="str">
        <f>IF($C45=CL,"X","")</f>
        <v>X</v>
      </c>
      <c r="E45" s="24">
        <f>IF(D45="X",100*0.1,"")</f>
        <v>10</v>
      </c>
      <c r="F45" s="24" t="str">
        <f>IF($C45=L,"X","")</f>
        <v/>
      </c>
      <c r="G45" s="24" t="str">
        <f>IF(F45="X",60*0.1,"")</f>
        <v/>
      </c>
      <c r="H45" s="24" t="str">
        <f>IF($C45=ML,"X","")</f>
        <v/>
      </c>
      <c r="I45" s="24" t="str">
        <f>IF(H45="X",30*0.1,"")</f>
        <v/>
      </c>
      <c r="J45" s="24" t="str">
        <f>IF($C45=NL,"X","")</f>
        <v/>
      </c>
      <c r="K45" s="24" t="str">
        <f t="shared" si="10"/>
        <v/>
      </c>
    </row>
    <row r="46" ht="24.0" customHeight="1">
      <c r="A46" s="19"/>
      <c r="B46" s="25" t="s">
        <v>15</v>
      </c>
      <c r="C46" s="26">
        <f>E46+G46+I46+K46</f>
        <v>100</v>
      </c>
      <c r="D46" s="27"/>
      <c r="E46" s="27">
        <f>SUM(E39:E45)</f>
        <v>100</v>
      </c>
      <c r="F46" s="27"/>
      <c r="G46" s="27">
        <f>SUM(G39:G45)</f>
        <v>0</v>
      </c>
      <c r="H46" s="27"/>
      <c r="I46" s="27">
        <f>SUM(I39:I45)</f>
        <v>0</v>
      </c>
      <c r="J46" s="27"/>
      <c r="K46" s="27">
        <f>SUM(K39:K45)</f>
        <v>0</v>
      </c>
    </row>
    <row r="47" ht="24.0" customHeight="1">
      <c r="A47" s="21"/>
      <c r="B47" s="28" t="s">
        <v>16</v>
      </c>
      <c r="C47" s="29">
        <f>VLOOKUP(C46,ESCALA_IEP!A28:B228,2,FALSE)</f>
        <v>7</v>
      </c>
    </row>
    <row r="48" ht="15.75" customHeight="1"/>
    <row r="49" ht="15.75" customHeight="1"/>
    <row r="50" ht="24.0" customHeight="1">
      <c r="A50" s="13" t="s">
        <v>17</v>
      </c>
      <c r="B50" s="14" t="str">
        <f>B4</f>
        <v>Simon Dinamarca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ht="24.0" customHeight="1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ht="24.0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11</v>
      </c>
      <c r="D52" s="24" t="str">
        <f>IF($C52=CL,"X","")</f>
        <v>X</v>
      </c>
      <c r="E52" s="24">
        <f>IF(D52="X",100*0.15,"")</f>
        <v>15</v>
      </c>
      <c r="F52" s="24" t="str">
        <f>IF($C52=L,"X","")</f>
        <v/>
      </c>
      <c r="G52" s="24" t="str">
        <f>IF(F52="X",60*0.15,"")</f>
        <v/>
      </c>
      <c r="H52" s="24" t="str">
        <f>IF($C52=ML,"X","")</f>
        <v/>
      </c>
      <c r="I52" s="24" t="str">
        <f>IF(H52="X",30*0.15,"")</f>
        <v/>
      </c>
      <c r="J52" s="24" t="str">
        <f>IF($C52=NL,"X","")</f>
        <v/>
      </c>
      <c r="K52" s="24" t="str">
        <f t="shared" ref="K52:K58" si="14">IF($J52="X",0,"")</f>
        <v/>
      </c>
    </row>
    <row r="53" ht="24.0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11</v>
      </c>
      <c r="D53" s="24" t="str">
        <f>IF($C53=CL,"X","")</f>
        <v>X</v>
      </c>
      <c r="E53" s="24">
        <f>IF(D53="X",100*0.25,"")</f>
        <v>25</v>
      </c>
      <c r="F53" s="24" t="str">
        <f>IF($C53=L,"X","")</f>
        <v/>
      </c>
      <c r="G53" s="24" t="str">
        <f>IF(F53="X",60*0.25,"")</f>
        <v/>
      </c>
      <c r="H53" s="24" t="str">
        <f>IF($C53=ML,"X","")</f>
        <v/>
      </c>
      <c r="I53" s="24" t="str">
        <f>IF(H53="X",30*0.25,"")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11</v>
      </c>
      <c r="D54" s="24" t="str">
        <f>IF($C54=CL,"X","")</f>
        <v>X</v>
      </c>
      <c r="E54" s="24">
        <f>IF(D54="X",100*0.2,"")</f>
        <v>20</v>
      </c>
      <c r="F54" s="24" t="str">
        <f>IF($C54=L,"X","")</f>
        <v/>
      </c>
      <c r="G54" s="24" t="str">
        <f>IF(F54="X",60*0.2,"")</f>
        <v/>
      </c>
      <c r="H54" s="24" t="str">
        <f>IF($C54=ML,"X","")</f>
        <v/>
      </c>
      <c r="I54" s="24" t="str">
        <f>IF(H54="X",30*0.2,"")</f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RUBRICA!A7</f>
        <v>4. Expone el Proyecto APT, considerando el formato y el tiempo establecido para la presentación.</v>
      </c>
      <c r="C55" s="23" t="s">
        <v>11</v>
      </c>
      <c r="D55" s="24" t="str">
        <f>IF($C55=CL,"X","")</f>
        <v>X</v>
      </c>
      <c r="E55" s="24">
        <f t="shared" ref="E55:E56" si="15">IF(D55="X",100*0.05,"")</f>
        <v>5</v>
      </c>
      <c r="F55" s="24" t="str">
        <f>IF($C55=L,"X","")</f>
        <v/>
      </c>
      <c r="G55" s="24" t="str">
        <f t="shared" ref="G55:G56" si="16">IF(F55="X",60*0.05,"")</f>
        <v/>
      </c>
      <c r="H55" s="24" t="str">
        <f>IF($C55=ML,"X","")</f>
        <v/>
      </c>
      <c r="I55" s="24" t="str">
        <f t="shared" ref="I55:I56" si="17">IF(H55="X",30*0.05,"")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11</v>
      </c>
      <c r="D56" s="24" t="str">
        <f>IF($C56=CL,"X","")</f>
        <v>X</v>
      </c>
      <c r="E56" s="24">
        <f t="shared" si="15"/>
        <v>5</v>
      </c>
      <c r="F56" s="24" t="str">
        <f>IF($C56=L,"X","")</f>
        <v/>
      </c>
      <c r="G56" s="24" t="str">
        <f t="shared" si="16"/>
        <v/>
      </c>
      <c r="H56" s="24" t="str">
        <f>IF($C56=ML,"X","")</f>
        <v/>
      </c>
      <c r="I56" s="24" t="str">
        <f t="shared" si="17"/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11</v>
      </c>
      <c r="D57" s="24" t="str">
        <f>IF($C57=CL,"X","")</f>
        <v>X</v>
      </c>
      <c r="E57" s="24">
        <f>IF(D57="X",100*0.2,"")</f>
        <v>20</v>
      </c>
      <c r="F57" s="24" t="str">
        <f>IF($C57=L,"X","")</f>
        <v/>
      </c>
      <c r="G57" s="24" t="str">
        <f>IF(F57="X",60*0.2,"")</f>
        <v/>
      </c>
      <c r="H57" s="24" t="str">
        <f>IF($C57=ML,"X","")</f>
        <v/>
      </c>
      <c r="I57" s="24" t="str">
        <f>IF(H57="X",30*0.2,"")</f>
        <v/>
      </c>
      <c r="J57" s="24" t="str">
        <f>IF($C57=NL,"X","")</f>
        <v/>
      </c>
      <c r="K57" s="24" t="str">
        <f t="shared" si="14"/>
        <v/>
      </c>
    </row>
    <row r="58" ht="24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11</v>
      </c>
      <c r="D58" s="24" t="str">
        <f>IF($C58=CL,"X","")</f>
        <v>X</v>
      </c>
      <c r="E58" s="24">
        <f>IF(D58="X",100*0.1,"")</f>
        <v>10</v>
      </c>
      <c r="F58" s="24" t="str">
        <f>IF($C58=L,"X","")</f>
        <v/>
      </c>
      <c r="G58" s="24" t="str">
        <f>IF(F58="X",60*0.1,"")</f>
        <v/>
      </c>
      <c r="H58" s="24" t="str">
        <f>IF($C58=ML,"X","")</f>
        <v/>
      </c>
      <c r="I58" s="24" t="str">
        <f>IF(H58="X",30*0.1,"")</f>
        <v/>
      </c>
      <c r="J58" s="24" t="str">
        <f>IF($C58=NL,"X","")</f>
        <v/>
      </c>
      <c r="K58" s="24" t="str">
        <f t="shared" si="14"/>
        <v/>
      </c>
    </row>
    <row r="59" ht="24.0" customHeight="1">
      <c r="A59" s="19"/>
      <c r="B59" s="25" t="s">
        <v>15</v>
      </c>
      <c r="C59" s="26">
        <f>E59+G59+I59+K59</f>
        <v>100</v>
      </c>
      <c r="D59" s="27"/>
      <c r="E59" s="27">
        <f>SUM(E52:E58)</f>
        <v>100</v>
      </c>
      <c r="F59" s="27"/>
      <c r="G59" s="27">
        <f>SUM(G52:G58)</f>
        <v>0</v>
      </c>
      <c r="H59" s="27"/>
      <c r="I59" s="27">
        <f>SUM(I52:I58)</f>
        <v>0</v>
      </c>
      <c r="J59" s="27"/>
      <c r="K59" s="27">
        <f>SUM(K52:K58)</f>
        <v>0</v>
      </c>
    </row>
    <row r="60" ht="24.0" customHeight="1">
      <c r="A60" s="21"/>
      <c r="B60" s="28" t="s">
        <v>16</v>
      </c>
      <c r="C60" s="29">
        <f>VLOOKUP(C59,ESCALA_IEP!A41:B241,2,FALSE)</f>
        <v>7</v>
      </c>
    </row>
    <row r="61" ht="15.75" customHeight="1"/>
    <row r="62" ht="15.75" customHeight="1"/>
    <row r="63" ht="24.0" customHeight="1">
      <c r="A63" s="13" t="s">
        <v>18</v>
      </c>
      <c r="B63" s="14" t="str">
        <f>B5</f>
        <v>Joaquin Fuentes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ht="24.0" customHeight="1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ht="24.0" customHeight="1">
      <c r="A65" s="19"/>
      <c r="B65" s="22" t="str">
        <f>RUBRICA!A4</f>
        <v>1. Presenta el proyecto considerando la relevancia, objetivos, metodología y desarrollo, de acuerdo a los estándares de calidad de la disciplina. </v>
      </c>
      <c r="C65" s="23" t="s">
        <v>11</v>
      </c>
      <c r="D65" s="24" t="str">
        <f>IF($C65=CL,"X","")</f>
        <v>X</v>
      </c>
      <c r="E65" s="24">
        <f>IF(D65="X",100*0.15,"")</f>
        <v>15</v>
      </c>
      <c r="F65" s="24" t="str">
        <f>IF($C65=L,"X","")</f>
        <v/>
      </c>
      <c r="G65" s="24" t="str">
        <f>IF(F65="X",60*0.15,"")</f>
        <v/>
      </c>
      <c r="H65" s="24" t="str">
        <f>IF($C65=ML,"X","")</f>
        <v/>
      </c>
      <c r="I65" s="24" t="str">
        <f>IF(H65="X",30*0.15,"")</f>
        <v/>
      </c>
      <c r="J65" s="24" t="str">
        <f>IF($C65=NL,"X","")</f>
        <v/>
      </c>
      <c r="K65" s="24" t="str">
        <f t="shared" ref="K65:K71" si="18">IF($J65="X",0,"")</f>
        <v/>
      </c>
    </row>
    <row r="66" ht="24.0" customHeight="1">
      <c r="A66" s="19"/>
      <c r="B66" s="22" t="str">
        <f>RUBRICA!A5</f>
        <v>2. Presenta las evidencias del Proyecto APT, dando cuenta del cumplimiento de los objetivos y de acuerdo a los estándares de la disciplina. </v>
      </c>
      <c r="C66" s="23" t="s">
        <v>11</v>
      </c>
      <c r="D66" s="24" t="str">
        <f>IF($C66=CL,"X","")</f>
        <v>X</v>
      </c>
      <c r="E66" s="24">
        <f>IF(D66="X",100*0.25,"")</f>
        <v>25</v>
      </c>
      <c r="F66" s="24" t="str">
        <f>IF($C66=L,"X","")</f>
        <v/>
      </c>
      <c r="G66" s="24" t="str">
        <f>IF(F66="X",60*0.25,"")</f>
        <v/>
      </c>
      <c r="H66" s="24" t="str">
        <f>IF($C66=ML,"X","")</f>
        <v/>
      </c>
      <c r="I66" s="24" t="str">
        <f>IF(H66="X",30*0.25,"")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RUBRICA!A6</f>
        <v>3. Responde las preguntas realizadas por la comisión, cumpliendo con los estándares de calidad de la disciplina.</v>
      </c>
      <c r="C67" s="23" t="s">
        <v>11</v>
      </c>
      <c r="D67" s="24" t="str">
        <f>IF($C67=CL,"X","")</f>
        <v>X</v>
      </c>
      <c r="E67" s="24">
        <f>IF(D67="X",100*0.2,"")</f>
        <v>20</v>
      </c>
      <c r="F67" s="24" t="str">
        <f>IF($C67=L,"X","")</f>
        <v/>
      </c>
      <c r="G67" s="24" t="str">
        <f>IF(F67="X",60*0.2,"")</f>
        <v/>
      </c>
      <c r="H67" s="24" t="str">
        <f>IF($C67=ML,"X","")</f>
        <v/>
      </c>
      <c r="I67" s="24" t="str">
        <f>IF(H67="X",30*0.2,"")</f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RUBRICA!A7</f>
        <v>4. Expone el Proyecto APT, considerando el formato y el tiempo establecido para la presentación.</v>
      </c>
      <c r="C68" s="23" t="s">
        <v>11</v>
      </c>
      <c r="D68" s="24" t="str">
        <f>IF($C68=CL,"X","")</f>
        <v>X</v>
      </c>
      <c r="E68" s="24">
        <f t="shared" ref="E68:E69" si="19">IF(D68="X",100*0.05,"")</f>
        <v>5</v>
      </c>
      <c r="F68" s="24" t="str">
        <f>IF($C68=L,"X","")</f>
        <v/>
      </c>
      <c r="G68" s="24" t="str">
        <f t="shared" ref="G68:G69" si="20">IF(F68="X",60*0.05,"")</f>
        <v/>
      </c>
      <c r="H68" s="24" t="str">
        <f>IF($C68=ML,"X","")</f>
        <v/>
      </c>
      <c r="I68" s="24" t="str">
        <f t="shared" ref="I68:I69" si="21">IF(H68="X",30*0.05,"")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RUBRICA!A8</f>
        <v>5. Expresa sus ideas con fluidez, claridad y precisión, utilizando lenguaje técnico propio de la disciplina.</v>
      </c>
      <c r="C69" s="23" t="s">
        <v>11</v>
      </c>
      <c r="D69" s="24" t="str">
        <f>IF($C69=CL,"X","")</f>
        <v>X</v>
      </c>
      <c r="E69" s="24">
        <f t="shared" si="19"/>
        <v>5</v>
      </c>
      <c r="F69" s="24" t="str">
        <f>IF($C69=L,"X","")</f>
        <v/>
      </c>
      <c r="G69" s="24" t="str">
        <f t="shared" si="20"/>
        <v/>
      </c>
      <c r="H69" s="24" t="str">
        <f>IF($C69=ML,"X","")</f>
        <v/>
      </c>
      <c r="I69" s="24" t="str">
        <f t="shared" si="21"/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2" t="str">
        <f>RUBRICA!A9</f>
        <v>6. Entrega la documentación y evidencias requerida por la asignatura de acuerdo a la estructura y nombres solicitados, guardando todas las evidencias de avances en Git</v>
      </c>
      <c r="C70" s="23" t="s">
        <v>11</v>
      </c>
      <c r="D70" s="24" t="str">
        <f>IF($C70=CL,"X","")</f>
        <v>X</v>
      </c>
      <c r="E70" s="24">
        <f>IF(D70="X",100*0.2,"")</f>
        <v>20</v>
      </c>
      <c r="F70" s="24" t="str">
        <f>IF($C70=L,"X","")</f>
        <v/>
      </c>
      <c r="G70" s="24" t="str">
        <f>IF(F70="X",60*0.2,"")</f>
        <v/>
      </c>
      <c r="H70" s="24" t="str">
        <f>IF($C70=ML,"X","")</f>
        <v/>
      </c>
      <c r="I70" s="24" t="str">
        <f>IF(H70="X",30*0.2,"")</f>
        <v/>
      </c>
      <c r="J70" s="24" t="str">
        <f>IF($C70=NL,"X","")</f>
        <v/>
      </c>
      <c r="K70" s="24" t="str">
        <f t="shared" si="18"/>
        <v/>
      </c>
    </row>
    <row r="71" ht="24.0" customHeight="1">
      <c r="A71" s="19"/>
      <c r="B71" s="22" t="str">
        <f>RUBRICA!A10</f>
        <v>7. Expone el tema utilizando un lenguaje técnico disciplinar al presentar la propuesta y responde evidenciando un manejo de la información. </v>
      </c>
      <c r="C71" s="23" t="s">
        <v>11</v>
      </c>
      <c r="D71" s="24" t="str">
        <f>IF($C71=CL,"X","")</f>
        <v>X</v>
      </c>
      <c r="E71" s="24">
        <f>IF(D71="X",100*0.1,"")</f>
        <v>10</v>
      </c>
      <c r="F71" s="24" t="str">
        <f>IF($C71=L,"X","")</f>
        <v/>
      </c>
      <c r="G71" s="24" t="str">
        <f>IF(F71="X",60*0.1,"")</f>
        <v/>
      </c>
      <c r="H71" s="24" t="str">
        <f>IF($C71=ML,"X","")</f>
        <v/>
      </c>
      <c r="I71" s="24" t="str">
        <f>IF(H71="X",30*0.1,"")</f>
        <v/>
      </c>
      <c r="J71" s="24" t="str">
        <f>IF($C71=NL,"X","")</f>
        <v/>
      </c>
      <c r="K71" s="24" t="str">
        <f t="shared" si="18"/>
        <v/>
      </c>
    </row>
    <row r="72" ht="24.0" customHeight="1">
      <c r="A72" s="19"/>
      <c r="B72" s="25" t="s">
        <v>15</v>
      </c>
      <c r="C72" s="26">
        <f>E72+G72+I72+K72</f>
        <v>100</v>
      </c>
      <c r="D72" s="27"/>
      <c r="E72" s="27">
        <f>SUM(E65:E71)</f>
        <v>100</v>
      </c>
      <c r="F72" s="27"/>
      <c r="G72" s="27">
        <f>SUM(G65:G71)</f>
        <v>0</v>
      </c>
      <c r="H72" s="27"/>
      <c r="I72" s="27">
        <f>SUM(I65:I71)</f>
        <v>0</v>
      </c>
      <c r="J72" s="27"/>
      <c r="K72" s="27">
        <f>SUM(K65:K71)</f>
        <v>0</v>
      </c>
    </row>
    <row r="73" ht="24.0" customHeight="1">
      <c r="A73" s="21"/>
      <c r="B73" s="28" t="s">
        <v>16</v>
      </c>
      <c r="C73" s="29">
        <f>VLOOKUP(C72,ESCALA_IEP!A54:B254,2,FALSE)</f>
        <v>7</v>
      </c>
    </row>
    <row r="74" ht="15.75" customHeight="1"/>
    <row r="75" ht="15.75" customHeight="1"/>
    <row r="76" ht="24.0" customHeight="1">
      <c r="A76" s="13" t="s">
        <v>19</v>
      </c>
      <c r="B76" s="14" t="str">
        <f>B6</f>
        <v>Raul Nuñez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ht="24.0" customHeight="1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ht="24.0" customHeight="1">
      <c r="A78" s="19"/>
      <c r="B78" s="22" t="str">
        <f>RUBRICA!A4</f>
        <v>1. Presenta el proyecto considerando la relevancia, objetivos, metodología y desarrollo, de acuerdo a los estándares de calidad de la disciplina. </v>
      </c>
      <c r="C78" s="23" t="s">
        <v>11</v>
      </c>
      <c r="D78" s="24" t="str">
        <f>IF($C78=CL,"X","")</f>
        <v>X</v>
      </c>
      <c r="E78" s="24">
        <f>IF(D78="X",100*0.15,"")</f>
        <v>15</v>
      </c>
      <c r="F78" s="24" t="str">
        <f>IF($C78=L,"X","")</f>
        <v/>
      </c>
      <c r="G78" s="24" t="str">
        <f>IF(F78="X",60*0.15,"")</f>
        <v/>
      </c>
      <c r="H78" s="24" t="str">
        <f>IF($C78=ML,"X","")</f>
        <v/>
      </c>
      <c r="I78" s="24" t="str">
        <f>IF(H78="X",30*0.15,"")</f>
        <v/>
      </c>
      <c r="J78" s="24" t="str">
        <f>IF($C78=NL,"X","")</f>
        <v/>
      </c>
      <c r="K78" s="24" t="str">
        <f t="shared" ref="K78:K84" si="22">IF($J78="X",0,"")</f>
        <v/>
      </c>
    </row>
    <row r="79" ht="24.0" customHeight="1">
      <c r="A79" s="19"/>
      <c r="B79" s="22" t="str">
        <f>RUBRICA!A5</f>
        <v>2. Presenta las evidencias del Proyecto APT, dando cuenta del cumplimiento de los objetivos y de acuerdo a los estándares de la disciplina. </v>
      </c>
      <c r="C79" s="23" t="s">
        <v>11</v>
      </c>
      <c r="D79" s="24" t="str">
        <f>IF($C79=CL,"X","")</f>
        <v>X</v>
      </c>
      <c r="E79" s="24">
        <f>IF(D79="X",100*0.25,"")</f>
        <v>25</v>
      </c>
      <c r="F79" s="24" t="str">
        <f>IF($C79=L,"X","")</f>
        <v/>
      </c>
      <c r="G79" s="24" t="str">
        <f>IF(F79="X",60*0.25,"")</f>
        <v/>
      </c>
      <c r="H79" s="24" t="str">
        <f>IF($C79=ML,"X","")</f>
        <v/>
      </c>
      <c r="I79" s="24" t="str">
        <f>IF(H79="X",30*0.25,"")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RUBRICA!A6</f>
        <v>3. Responde las preguntas realizadas por la comisión, cumpliendo con los estándares de calidad de la disciplina.</v>
      </c>
      <c r="C80" s="23" t="s">
        <v>11</v>
      </c>
      <c r="D80" s="24" t="str">
        <f>IF($C80=CL,"X","")</f>
        <v>X</v>
      </c>
      <c r="E80" s="24">
        <f>IF(D80="X",100*0.2,"")</f>
        <v>20</v>
      </c>
      <c r="F80" s="24" t="str">
        <f>IF($C80=L,"X","")</f>
        <v/>
      </c>
      <c r="G80" s="24" t="str">
        <f>IF(F80="X",60*0.2,"")</f>
        <v/>
      </c>
      <c r="H80" s="24" t="str">
        <f>IF($C80=ML,"X","")</f>
        <v/>
      </c>
      <c r="I80" s="24" t="str">
        <f>IF(H80="X",30*0.2,"")</f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RUBRICA!A7</f>
        <v>4. Expone el Proyecto APT, considerando el formato y el tiempo establecido para la presentación.</v>
      </c>
      <c r="C81" s="23" t="s">
        <v>11</v>
      </c>
      <c r="D81" s="24" t="str">
        <f>IF($C81=CL,"X","")</f>
        <v>X</v>
      </c>
      <c r="E81" s="24">
        <f t="shared" ref="E81:E82" si="23">IF(D81="X",100*0.05,"")</f>
        <v>5</v>
      </c>
      <c r="F81" s="24" t="str">
        <f>IF($C81=L,"X","")</f>
        <v/>
      </c>
      <c r="G81" s="24" t="str">
        <f t="shared" ref="G81:G82" si="24">IF(F81="X",60*0.05,"")</f>
        <v/>
      </c>
      <c r="H81" s="24" t="str">
        <f>IF($C81=ML,"X","")</f>
        <v/>
      </c>
      <c r="I81" s="24" t="str">
        <f t="shared" ref="I81:I82" si="25">IF(H81="X",30*0.05,"")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RUBRICA!A8</f>
        <v>5. Expresa sus ideas con fluidez, claridad y precisión, utilizando lenguaje técnico propio de la disciplina.</v>
      </c>
      <c r="C82" s="23" t="s">
        <v>11</v>
      </c>
      <c r="D82" s="24" t="str">
        <f>IF($C82=CL,"X","")</f>
        <v>X</v>
      </c>
      <c r="E82" s="24">
        <f t="shared" si="23"/>
        <v>5</v>
      </c>
      <c r="F82" s="24" t="str">
        <f>IF($C82=L,"X","")</f>
        <v/>
      </c>
      <c r="G82" s="24" t="str">
        <f t="shared" si="24"/>
        <v/>
      </c>
      <c r="H82" s="24" t="str">
        <f>IF($C82=ML,"X","")</f>
        <v/>
      </c>
      <c r="I82" s="24" t="str">
        <f t="shared" si="25"/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2" t="str">
        <f>RUBRICA!A9</f>
        <v>6. Entrega la documentación y evidencias requerida por la asignatura de acuerdo a la estructura y nombres solicitados, guardando todas las evidencias de avances en Git</v>
      </c>
      <c r="C83" s="23" t="s">
        <v>11</v>
      </c>
      <c r="D83" s="24" t="str">
        <f>IF($C83=CL,"X","")</f>
        <v>X</v>
      </c>
      <c r="E83" s="24">
        <f>IF(D83="X",100*0.2,"")</f>
        <v>20</v>
      </c>
      <c r="F83" s="24" t="str">
        <f>IF($C83=L,"X","")</f>
        <v/>
      </c>
      <c r="G83" s="24" t="str">
        <f>IF(F83="X",60*0.2,"")</f>
        <v/>
      </c>
      <c r="H83" s="24" t="str">
        <f>IF($C83=ML,"X","")</f>
        <v/>
      </c>
      <c r="I83" s="24" t="str">
        <f>IF(H83="X",30*0.2,"")</f>
        <v/>
      </c>
      <c r="J83" s="24" t="str">
        <f>IF($C83=NL,"X","")</f>
        <v/>
      </c>
      <c r="K83" s="24" t="str">
        <f t="shared" si="22"/>
        <v/>
      </c>
    </row>
    <row r="84" ht="24.0" customHeight="1">
      <c r="A84" s="19"/>
      <c r="B84" s="22" t="str">
        <f>RUBRICA!A10</f>
        <v>7. Expone el tema utilizando un lenguaje técnico disciplinar al presentar la propuesta y responde evidenciando un manejo de la información. </v>
      </c>
      <c r="C84" s="23" t="s">
        <v>11</v>
      </c>
      <c r="D84" s="24" t="str">
        <f>IF($C84=CL,"X","")</f>
        <v>X</v>
      </c>
      <c r="E84" s="24">
        <f>IF(D84="X",100*0.1,"")</f>
        <v>10</v>
      </c>
      <c r="F84" s="24" t="str">
        <f>IF($C84=L,"X","")</f>
        <v/>
      </c>
      <c r="G84" s="24" t="str">
        <f>IF(F84="X",60*0.1,"")</f>
        <v/>
      </c>
      <c r="H84" s="24" t="str">
        <f>IF($C84=ML,"X","")</f>
        <v/>
      </c>
      <c r="I84" s="24" t="str">
        <f>IF(H84="X",30*0.1,"")</f>
        <v/>
      </c>
      <c r="J84" s="24" t="str">
        <f>IF($C84=NL,"X","")</f>
        <v/>
      </c>
      <c r="K84" s="24" t="str">
        <f t="shared" si="22"/>
        <v/>
      </c>
    </row>
    <row r="85" ht="24.0" customHeight="1">
      <c r="A85" s="19"/>
      <c r="B85" s="25" t="s">
        <v>15</v>
      </c>
      <c r="C85" s="26">
        <f>E85+G85+I85+K85</f>
        <v>100</v>
      </c>
      <c r="D85" s="27"/>
      <c r="E85" s="27">
        <f>SUM(E78:E84)</f>
        <v>100</v>
      </c>
      <c r="F85" s="27"/>
      <c r="G85" s="27">
        <f>SUM(G78:G84)</f>
        <v>0</v>
      </c>
      <c r="H85" s="27"/>
      <c r="I85" s="27">
        <f>SUM(I78:I84)</f>
        <v>0</v>
      </c>
      <c r="J85" s="27"/>
      <c r="K85" s="27">
        <f>SUM(K78:K84)</f>
        <v>0</v>
      </c>
    </row>
    <row r="86" ht="24.0" customHeight="1">
      <c r="A86" s="21"/>
      <c r="B86" s="28" t="s">
        <v>16</v>
      </c>
      <c r="C86" s="29">
        <f>VLOOKUP(C85,ESCALA_IEP!A67:B267,2,FALSE)</f>
        <v>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C11:C12"/>
    <mergeCell ref="C24:C25"/>
    <mergeCell ref="A37:A47"/>
    <mergeCell ref="C37:C38"/>
    <mergeCell ref="A50:A60"/>
    <mergeCell ref="C50:C51"/>
    <mergeCell ref="C63:C64"/>
    <mergeCell ref="C76:C77"/>
    <mergeCell ref="D77:E77"/>
    <mergeCell ref="F77:G77"/>
    <mergeCell ref="H77:I77"/>
    <mergeCell ref="J77:K77"/>
    <mergeCell ref="J51:K51"/>
    <mergeCell ref="D63:K63"/>
    <mergeCell ref="D64:E64"/>
    <mergeCell ref="F64:G64"/>
    <mergeCell ref="H64:I64"/>
    <mergeCell ref="J64:K64"/>
    <mergeCell ref="D76:K76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3:C19 C26:C32 C39:C45 C52:C58 C65:C71 C78:C84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0.71"/>
  </cols>
  <sheetData>
    <row r="1" ht="14.25" customHeight="1">
      <c r="A1" s="30" t="s">
        <v>20</v>
      </c>
      <c r="B1" s="31" t="s">
        <v>21</v>
      </c>
      <c r="C1" s="32"/>
      <c r="D1" s="32"/>
      <c r="E1" s="33"/>
      <c r="F1" s="30" t="s">
        <v>22</v>
      </c>
    </row>
    <row r="2" ht="14.25" customHeight="1">
      <c r="A2" s="34"/>
      <c r="B2" s="35" t="s">
        <v>23</v>
      </c>
      <c r="C2" s="35" t="s">
        <v>24</v>
      </c>
      <c r="D2" s="36" t="s">
        <v>25</v>
      </c>
      <c r="E2" s="37" t="s">
        <v>14</v>
      </c>
      <c r="F2" s="34"/>
    </row>
    <row r="3" ht="14.25" customHeight="1">
      <c r="A3" s="38"/>
      <c r="B3" s="38"/>
      <c r="C3" s="38"/>
      <c r="D3" s="39">
        <v>0.3</v>
      </c>
      <c r="E3" s="39">
        <v>0.0</v>
      </c>
      <c r="F3" s="38"/>
    </row>
    <row r="4" ht="14.25" customHeight="1">
      <c r="A4" s="40" t="s">
        <v>26</v>
      </c>
      <c r="B4" s="40" t="s">
        <v>27</v>
      </c>
      <c r="C4" s="40" t="s">
        <v>28</v>
      </c>
      <c r="D4" s="40" t="s">
        <v>29</v>
      </c>
      <c r="E4" s="40" t="s">
        <v>30</v>
      </c>
      <c r="F4" s="41">
        <v>15.0</v>
      </c>
    </row>
    <row r="5" ht="136.5" customHeight="1">
      <c r="A5" s="40" t="s">
        <v>31</v>
      </c>
      <c r="B5" s="40" t="s">
        <v>32</v>
      </c>
      <c r="C5" s="40" t="s">
        <v>33</v>
      </c>
      <c r="D5" s="40" t="s">
        <v>34</v>
      </c>
      <c r="E5" s="40" t="s">
        <v>35</v>
      </c>
      <c r="F5" s="41">
        <v>25.0</v>
      </c>
    </row>
    <row r="6" ht="87.0" customHeight="1">
      <c r="A6" s="40" t="s">
        <v>36</v>
      </c>
      <c r="B6" s="40" t="s">
        <v>37</v>
      </c>
      <c r="C6" s="40" t="s">
        <v>38</v>
      </c>
      <c r="D6" s="40" t="s">
        <v>39</v>
      </c>
      <c r="E6" s="40" t="s">
        <v>40</v>
      </c>
      <c r="F6" s="41">
        <v>20.0</v>
      </c>
    </row>
    <row r="7" ht="14.25" customHeight="1">
      <c r="A7" s="40" t="s">
        <v>41</v>
      </c>
      <c r="B7" s="40" t="s">
        <v>42</v>
      </c>
      <c r="C7" s="40" t="s">
        <v>43</v>
      </c>
      <c r="D7" s="40" t="s">
        <v>44</v>
      </c>
      <c r="E7" s="40" t="s">
        <v>45</v>
      </c>
      <c r="F7" s="41">
        <v>5.0</v>
      </c>
    </row>
    <row r="8" ht="14.25" customHeight="1">
      <c r="A8" s="40" t="s">
        <v>46</v>
      </c>
      <c r="B8" s="40" t="s">
        <v>47</v>
      </c>
      <c r="C8" s="40" t="s">
        <v>48</v>
      </c>
      <c r="D8" s="40" t="s">
        <v>49</v>
      </c>
      <c r="E8" s="40" t="s">
        <v>50</v>
      </c>
      <c r="F8" s="41">
        <v>5.0</v>
      </c>
    </row>
    <row r="9" ht="14.25" customHeight="1">
      <c r="A9" s="40" t="s">
        <v>51</v>
      </c>
      <c r="B9" s="40" t="s">
        <v>52</v>
      </c>
      <c r="C9" s="40" t="s">
        <v>53</v>
      </c>
      <c r="D9" s="40" t="s">
        <v>54</v>
      </c>
      <c r="E9" s="40" t="s">
        <v>55</v>
      </c>
      <c r="F9" s="42">
        <v>20.0</v>
      </c>
    </row>
    <row r="10" ht="126.0" customHeight="1">
      <c r="A10" s="40" t="s">
        <v>56</v>
      </c>
      <c r="B10" s="40" t="s">
        <v>57</v>
      </c>
      <c r="C10" s="40" t="s">
        <v>58</v>
      </c>
      <c r="D10" s="40" t="s">
        <v>59</v>
      </c>
      <c r="E10" s="40" t="s">
        <v>60</v>
      </c>
      <c r="F10" s="42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61</v>
      </c>
      <c r="B1" s="43" t="s">
        <v>62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63</v>
      </c>
      <c r="B1" s="46" t="s">
        <v>15</v>
      </c>
      <c r="C1" s="47"/>
      <c r="D1" s="47"/>
      <c r="E1" s="48"/>
    </row>
    <row r="2">
      <c r="A2" s="49"/>
      <c r="B2" s="50" t="s">
        <v>11</v>
      </c>
      <c r="C2" s="51" t="s">
        <v>12</v>
      </c>
      <c r="D2" s="51" t="s">
        <v>64</v>
      </c>
      <c r="E2" s="52" t="s">
        <v>14</v>
      </c>
    </row>
    <row r="3">
      <c r="A3" s="53" t="s">
        <v>65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