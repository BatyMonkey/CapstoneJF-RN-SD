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2 (Fuentes Joaquin - Dinamarca - Nuñez)\"/>
    </mc:Choice>
  </mc:AlternateContent>
  <xr:revisionPtr revIDLastSave="0" documentId="13_ncr:1_{72D4E6B7-9340-45B0-9EBA-B0CABB7E1B98}"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4" authorId="0" shapeId="0" xr:uid="{FDE87603-60D3-48A6-B55F-1E4F7FD01DBB}">
      <text>
        <r>
          <rPr>
            <b/>
            <sz val="11"/>
            <color indexed="81"/>
            <rFont val="Tahoma"/>
            <charset val="1"/>
          </rPr>
          <t>Están todas las evidencias de la fase2 (100% C.U.)</t>
        </r>
        <r>
          <rPr>
            <sz val="11"/>
            <color indexed="81"/>
            <rFont val="Tahoma"/>
            <charset val="1"/>
          </rPr>
          <t xml:space="preserve">
</t>
        </r>
      </text>
    </comment>
  </commentList>
</comments>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<sst xmlns="http://schemas.openxmlformats.org/spreadsheetml/2006/main" count="138" uniqueCount="79">
  <si>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</si>
  <si>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</si>
  <si>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</si>
  <si>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</si>
  <si>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</si>
  <si>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</si>
  <si>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</si>
  <si>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</si>
  <si>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</si>
  <si>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</si>
  <si>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</si>
  <si>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</si>
  <si>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</si>
  <si>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</si>
  <si>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</si>
  <si>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</si>
  <si>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</si>
  <si>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</si>
  <si>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</si>
  <si>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</si>
  <si>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</si>
  <si>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</si>
  <si>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</si>
  <si>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</si>
  <si>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</si>
  <si>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</si>
  <si>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</si>
  <si>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</si>
  <si>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</si>
  <si>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</si>
  <si>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</si>
  <si>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</si>
  <si>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</si>
  <si>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</si>
  <si>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</si>
  <si>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</si>
  <si>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</si>
  <si>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</si>
  <si>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</si>
  <si>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</si>
  <si>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</si>
  <si>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</si>
  <si>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</si>
  <si>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</si>
  <si>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</si>
  <si>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</si>
  <si>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</si>
  <si>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</si>
  <si>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</si>
  <si>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</si>
  <si>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</si>
  <si>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</si>
  <si>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</si>
  <si>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</si>
  <si>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</si>
  <si>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</si>
  <si>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</si>
  <si>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</si>
  <si>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</si>
  <si>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</si>
  <si>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</si>
  <si>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</si>
  <si>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</si>
  <si>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</si>
  <si>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</si>
  <si>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</si>
  <si>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</si>
  <si>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</si>
  <si>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</si>
  <si>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</si>
  <si>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</si>
  <si>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</si>
  <si>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</si>
  <si>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</si>
  <si>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</si>
  <si>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</si>
  <si>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SIMÓN DINAMARCA</t>
  </si>
  <si>
    <t>JOAQUIN FUENTES</t>
  </si>
  <si>
    <t>RAUL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</si>
</sst>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indexed="81"/>
      <name val="Tahoma"/>
      <charset val="1"/>
    </font>
    <font>
      <b/>
      <sz val="11"/>
      <color indexed="81"/>
      <name val="Tahoma"/>
      <charset val="1"/>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6" t="s">
        <v>22</v>
      </c>
      <c r="E2" s="35" t="s">
        <v>7</v>
      </c>
      <c r="F2" s="51"/>
    </row>
    <row r="3" spans="1:6">
      <c r="A3" s="51"/>
      <c r="B3" s="52"/>
      <c r="C3" s="52"/>
      <c r="D3" s="37">
        <v>-0.3</v>
      </c>
      <c r="E3" s="37">
        <v>0</v>
      </c>
      <c r="F3" s="51"/>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4" sqref="C14"/>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40" t="s">
        <v>9</v>
      </c>
      <c r="D3" s="41" t="s">
        <v>15</v>
      </c>
      <c r="E3" s="54"/>
    </row>
    <row r="4" spans="1:11">
      <c r="A4" s="4">
        <v>1</v>
      </c>
      <c r="B4" s="28" t="s">
        <v>76</v>
      </c>
      <c r="C4" s="5">
        <f>EVALUACION1!$C$21</f>
        <v>7</v>
      </c>
      <c r="D4" s="5">
        <f>$C$32</f>
        <v>7</v>
      </c>
      <c r="E4" s="6">
        <f>C4*C$2+D4*D$2</f>
        <v>7</v>
      </c>
      <c r="G4" s="1"/>
    </row>
    <row r="5" spans="1:11">
      <c r="A5" s="4">
        <v>2</v>
      </c>
      <c r="B5" s="28" t="s">
        <v>77</v>
      </c>
      <c r="C5" s="5">
        <f>EVALUACION1!$C$21</f>
        <v>7</v>
      </c>
      <c r="D5" s="5">
        <f>C44</f>
        <v>7</v>
      </c>
      <c r="E5" s="6">
        <f t="shared" ref="E5:E6" si="0">C5*C$2+D5*D$2</f>
        <v>7</v>
      </c>
      <c r="G5" s="1"/>
    </row>
    <row r="6" spans="1:11">
      <c r="A6" s="4">
        <v>3</v>
      </c>
      <c r="B6" s="28" t="s">
        <v>78</v>
      </c>
      <c r="C6" s="5">
        <f>EVALUACION1!$C$21</f>
        <v>7</v>
      </c>
      <c r="D6" s="5">
        <f>C55</f>
        <v>7</v>
      </c>
      <c r="E6" s="6">
        <f t="shared" si="0"/>
        <v>7</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24" outlineLevel="1">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c r="A21" s="54"/>
      <c r="B21" s="33" t="s">
        <v>13</v>
      </c>
      <c r="C21" s="21">
        <f>VLOOKUP(C20,ESCALA_IEP!A1:B152,2,FALSE)</f>
        <v>7</v>
      </c>
    </row>
    <row r="22" spans="1:11" ht="15.75" customHeight="1"/>
    <row r="23" spans="1:11" ht="15.75" customHeight="1"/>
    <row r="24" spans="1:11" ht="15.75" customHeight="1">
      <c r="A24" s="66" t="s">
        <v>15</v>
      </c>
      <c r="B24" s="53" t="s">
        <v>16</v>
      </c>
      <c r="C24" s="55" t="str">
        <f>$B$4</f>
        <v>SIMÓN DINAMARCA</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7"/>
      <c r="B31" s="22" t="s">
        <v>14</v>
      </c>
      <c r="C31" s="19">
        <f>E31+G31+I31+K31</f>
        <v>25</v>
      </c>
      <c r="D31" s="20"/>
      <c r="E31" s="20">
        <f>SUM(E28:E30)</f>
        <v>25</v>
      </c>
      <c r="F31" s="20"/>
      <c r="G31" s="20">
        <f>SUM(G28:G30)</f>
        <v>0</v>
      </c>
      <c r="H31" s="20"/>
      <c r="I31" s="20">
        <f>SUM(I28:I30)</f>
        <v>0</v>
      </c>
      <c r="J31" s="20"/>
      <c r="K31" s="20">
        <f>SUM(K29:K30)</f>
        <v>0</v>
      </c>
    </row>
    <row r="32" spans="1:11" ht="15.75" customHeight="1">
      <c r="A32" s="54"/>
      <c r="B32" s="18" t="s">
        <v>13</v>
      </c>
      <c r="C32" s="21">
        <f>VLOOKUP(C31,ESCALA_TRAB_EQUIP!A1:B52,2,FALSE)</f>
        <v>7</v>
      </c>
    </row>
    <row r="33" spans="1:11" ht="15.75" customHeight="1">
      <c r="B33" s="23"/>
      <c r="C33" s="24"/>
    </row>
    <row r="34" spans="1:11" ht="15.75" customHeight="1">
      <c r="B34" s="23"/>
      <c r="C34" s="24"/>
    </row>
    <row r="35" spans="1:11" ht="15.75" customHeight="1"/>
    <row r="36" spans="1:11" ht="15.75" customHeight="1">
      <c r="A36" s="66" t="s">
        <v>15</v>
      </c>
      <c r="B36" s="53" t="s">
        <v>16</v>
      </c>
      <c r="C36" s="55" t="str">
        <f>B5</f>
        <v>JOAQUIN FUENTES</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7"/>
      <c r="B43" s="22" t="s">
        <v>14</v>
      </c>
      <c r="C43" s="19">
        <f>E43+G43+I43+K43</f>
        <v>25</v>
      </c>
      <c r="D43" s="20"/>
      <c r="E43" s="20">
        <f>SUM(E40:E42)</f>
        <v>25</v>
      </c>
      <c r="F43" s="20"/>
      <c r="G43" s="20">
        <f>SUM(G40:G42)</f>
        <v>0</v>
      </c>
      <c r="H43" s="20"/>
      <c r="I43" s="20">
        <f>SUM(I40:I42)</f>
        <v>0</v>
      </c>
      <c r="J43" s="20"/>
      <c r="K43" s="20">
        <f>SUM(K41:K42)</f>
        <v>0</v>
      </c>
    </row>
    <row r="44" spans="1:11" ht="15.75" customHeight="1">
      <c r="A44" s="54"/>
      <c r="B44" s="18" t="s">
        <v>13</v>
      </c>
      <c r="C44" s="21">
        <f>VLOOKUP(C43,ESCALA_TRAB_EQUIP!A1:B52,2,FALSE)</f>
        <v>7</v>
      </c>
    </row>
    <row r="45" spans="1:11" ht="15.75" customHeight="1">
      <c r="B45" s="23"/>
      <c r="C45" s="24"/>
    </row>
    <row r="46" spans="1:11" ht="15.75" customHeight="1">
      <c r="B46" s="23"/>
      <c r="C46" s="24"/>
    </row>
    <row r="47" spans="1:11" ht="15.75" customHeight="1">
      <c r="A47" s="66" t="s">
        <v>15</v>
      </c>
      <c r="B47" s="53" t="s">
        <v>16</v>
      </c>
      <c r="C47" s="55" t="str">
        <f>B6</f>
        <v>RAUL NUÑEZ</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7"/>
      <c r="B54" s="22" t="s">
        <v>14</v>
      </c>
      <c r="C54" s="19">
        <f>E54+G54+I54+K54</f>
        <v>25</v>
      </c>
      <c r="D54" s="20"/>
      <c r="E54" s="20">
        <f>SUM(E51:E53)</f>
        <v>25</v>
      </c>
      <c r="F54" s="20"/>
      <c r="G54" s="20">
        <f>SUM(G51:G53)</f>
        <v>0</v>
      </c>
      <c r="H54" s="20"/>
      <c r="I54" s="20">
        <f>SUM(I51:I53)</f>
        <v>0</v>
      </c>
      <c r="J54" s="20"/>
      <c r="K54" s="20">
        <f>SUM(K52:K53)</f>
        <v>0</v>
      </c>
    </row>
    <row r="55" spans="1:11" ht="15.75" customHeight="1">
      <c r="A55" s="54"/>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2025-11-28T21:35:57Z</dcterms:modified>
</cp:coreProperties>
</file>