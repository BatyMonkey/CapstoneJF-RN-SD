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PARA CORREGIR (2-2025)\CAPSTONE\SEC 1\grupo 2 (Fuentes Joaquin - Dinamarca - Nuñez)\"/>
    </mc:Choice>
  </mc:AlternateContent>
  <xr:revisionPtr revIDLastSave="0" documentId="13_ncr:1_{DE0ADEA4-A01F-44F6-9D7A-8501A3AFECB5}" xr6:coauthVersionLast="47" xr6:coauthVersionMax="47" xr10:uidLastSave="{00000000-0000-0000-0000-000000000000}"/>
  <bookViews>
    <workbookView xWindow="-120" yWindow="-120" windowWidth="20730" windowHeight="1116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Arturo</author>
  </authors>
  <commentList>
    <comment ref="C16" authorId="0" shapeId="0" xr:uid="{48BF8C39-9030-4328-8F06-D85388328288}">
      <text>
        <r>
          <rPr>
            <b/>
            <sz val="9"/>
            <color indexed="81"/>
            <rFont val="Tahoma"/>
            <charset val="1"/>
          </rPr>
          <t>Los CU deben ir asociados a los requerimientos funcionales que van a satisfacer</t>
        </r>
      </text>
    </comment>
  </commentList>
</comments>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<sst xmlns="http://schemas.openxmlformats.org/spreadsheetml/2006/main" count="157" uniqueCount="98">
  <si>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</si>
  <si>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</si>
  <si>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</si>
  <si>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</si>
  <si>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</si>
  <si>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</si>
  <si>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</si>
  <si>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</si>
  <si>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</si>
  <si>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</si>
  <si>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</si>
  <si>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</si>
  <si>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</si>
  <si>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</si>
  <si>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</si>
  <si>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</si>
  <si>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</si>
  <si>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</si>
  <si>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</si>
  <si>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</si>
  <si>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</si>
  <si>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</si>
  <si>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</si>
  <si>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</si>
  <si>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</si>
  <si>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</si>
  <si>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</si>
  <si>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</si>
  <si>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</si>
  <si>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</si>
  <si>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</si>
  <si>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</si>
  <si>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</si>
  <si>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</si>
  <si>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</si>
  <si>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</si>
  <si>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</si>
  <si>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</si>
  <si>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</si>
  <si>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</si>
  <si>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</si>
  <si>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</si>
  <si>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</si>
  <si>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</si>
  <si>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</si>
  <si>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</si>
  <si>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</si>
  <si>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</si>
  <si>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</si>
  <si>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</si>
  <si>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</si>
  <si>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</si>
  <si>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</si>
  <si>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</si>
  <si>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</si>
  <si>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</si>
  <si>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</si>
  <si>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</si>
  <si>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</si>
  <si>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</si>
  <si>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</si>
  <si>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</si>
  <si>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</si>
  <si>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</si>
  <si>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</si>
  <si>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</si>
  <si>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</si>
  <si>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</si>
  <si>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</si>
  <si>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</si>
  <si>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</si>
  <si>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</si>
  <si>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</si>
  <si>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</si>
  <si>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</si>
  <si>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</si>
  <si>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</si>
  <si>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</si>
  <si>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</si>
  <si>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</si>
  <si>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</si>
  <si>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</si>
  <si>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</si>
  <si>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</si>
  <si>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</si>
  <si>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</si>
  <si>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</si>
  <si>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</si>
  <si>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</si>
  <si>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</si>
  <si>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</si>
  <si>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</si>
  <si>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</si>
  <si>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</si>
  <si>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</si>
  <si>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SIMÓN DINAMARCA</t>
  </si>
  <si>
    <t>JOAQUIN FUENTES</t>
  </si>
  <si>
    <t>RAUL NUÑEZ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</si>
</sst>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
      <b/>
      <sz val="9"/>
      <color indexed="81"/>
      <name val="Tahoma"/>
      <charset val="1"/>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applyAlignment="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13" zoomScale="120" zoomScaleNormal="120" workbookViewId="0">
      <selection activeCell="C18" sqref="C1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6.8</v>
      </c>
      <c r="D4" s="6">
        <f>$C$35</f>
        <v>7</v>
      </c>
      <c r="E4" s="43">
        <f>C4*C$2+D4*D$2</f>
        <v>6.85</v>
      </c>
      <c r="G4" s="1"/>
    </row>
    <row r="5" spans="1:11" x14ac:dyDescent="0.25">
      <c r="A5" s="5">
        <v>2</v>
      </c>
      <c r="B5" s="32" t="s">
        <v>96</v>
      </c>
      <c r="C5" s="6">
        <f>EVALUACION1!$C$24</f>
        <v>6.8</v>
      </c>
      <c r="D5" s="6">
        <f>C47</f>
        <v>7</v>
      </c>
      <c r="E5" s="43">
        <f t="shared" ref="E5:E6" si="0">C5*C$2+D5*D$2</f>
        <v>6.85</v>
      </c>
      <c r="G5" s="1"/>
    </row>
    <row r="6" spans="1:11" x14ac:dyDescent="0.25">
      <c r="A6" s="5">
        <v>3</v>
      </c>
      <c r="B6" s="32" t="s">
        <v>97</v>
      </c>
      <c r="C6" s="6">
        <f>EVALUACION1!$C$24</f>
        <v>6.8</v>
      </c>
      <c r="D6" s="6">
        <f>C58</f>
        <v>7</v>
      </c>
      <c r="E6" s="43">
        <f t="shared" si="0"/>
        <v>6.85</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8</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1"/>
      <c r="B23" s="34" t="s">
        <v>11</v>
      </c>
      <c r="C23" s="37">
        <f>E23+G23+I23+K23</f>
        <v>68</v>
      </c>
      <c r="D23" s="19"/>
      <c r="E23" s="19">
        <f>SUM(E13:E22)</f>
        <v>65</v>
      </c>
      <c r="F23" s="19"/>
      <c r="G23" s="19">
        <f>SUM(G13:G22)</f>
        <v>3</v>
      </c>
      <c r="H23" s="19"/>
      <c r="I23" s="19">
        <f>SUM(I13:I22)</f>
        <v>0</v>
      </c>
      <c r="J23" s="19"/>
      <c r="K23" s="19">
        <f>SUM(K13:K22)</f>
        <v>0</v>
      </c>
    </row>
    <row r="24" spans="1:11" ht="15.75" customHeight="1" outlineLevel="1" x14ac:dyDescent="0.3">
      <c r="A24" s="50"/>
      <c r="B24" s="36" t="s">
        <v>12</v>
      </c>
      <c r="C24" s="20">
        <f>VLOOKUP(C23,ESCALA_IEP!A2:B142,2,FALSE)</f>
        <v>6.8</v>
      </c>
    </row>
    <row r="25" spans="1:11" ht="15.75" customHeight="1" x14ac:dyDescent="0.25"/>
    <row r="26" spans="1:11" ht="15.75" customHeight="1" x14ac:dyDescent="0.25"/>
    <row r="27" spans="1:11" ht="15.75" customHeight="1" x14ac:dyDescent="0.25">
      <c r="A27" s="60" t="s">
        <v>13</v>
      </c>
      <c r="B27" s="49" t="s">
        <v>14</v>
      </c>
      <c r="C27" s="52" t="str">
        <f>$B$4</f>
        <v>SIMÓN DINAMARCA</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JOAQUIN FUENTES</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RAUL NUÑEZ</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Arturo Alex Vargas Reyes</cp:lastModifiedBy>
  <cp:revision/>
  <dcterms:created xsi:type="dcterms:W3CDTF">2023-08-07T04:08:01Z</dcterms:created>
  <dcterms:modified xsi:type="dcterms:W3CDTF">2025-09-20T22:19:19Z</dcterms:modified>
  <cp:category/>
  <cp:contentStatus/>
</cp:coreProperties>
</file>